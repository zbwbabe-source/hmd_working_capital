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work_space\Working Capital Dashboard\cashflow\"/>
    </mc:Choice>
  </mc:AlternateContent>
  <xr:revisionPtr revIDLastSave="0" documentId="13_ncr:1_{737BC5B6-2D5F-40B6-82FE-6598A41BE73A}" xr6:coauthVersionLast="47" xr6:coauthVersionMax="47" xr10:uidLastSave="{00000000-0000-0000-0000-000000000000}"/>
  <bookViews>
    <workbookView xWindow="-120" yWindow="-120" windowWidth="26430" windowHeight="16440" xr2:uid="{D593AF19-A322-4513-BC5A-A55E0694C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" l="1"/>
  <c r="O12" i="1"/>
  <c r="O11" i="1"/>
  <c r="O10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<sst xmlns="http://schemas.openxmlformats.org/spreadsheetml/2006/main" count="28" uniqueCount="24">
  <si>
    <t>구분</t>
  </si>
  <si>
    <t>입고</t>
  </si>
  <si>
    <t>판매</t>
  </si>
  <si>
    <t>의류합계</t>
  </si>
  <si>
    <t>차기시즌</t>
  </si>
  <si>
    <t>과시즌</t>
  </si>
  <si>
    <t>신발</t>
  </si>
  <si>
    <t>모자</t>
  </si>
  <si>
    <t>가방</t>
  </si>
  <si>
    <t>기타</t>
  </si>
  <si>
    <t>Total</t>
  </si>
  <si>
    <t>판매율</t>
    <phoneticPr fontId="3" type="noConversion"/>
  </si>
  <si>
    <t>재고주수</t>
    <phoneticPr fontId="3" type="noConversion"/>
  </si>
  <si>
    <t>판매가능</t>
  </si>
  <si>
    <t>당년F</t>
  </si>
  <si>
    <t>당년S</t>
  </si>
  <si>
    <t>25년 기초</t>
  </si>
  <si>
    <t>25년 기말</t>
  </si>
  <si>
    <t>26년 기초</t>
  </si>
  <si>
    <t>26년 2월말</t>
  </si>
  <si>
    <t>26년 기말</t>
  </si>
  <si>
    <t>1년차</t>
  </si>
  <si>
    <t>2년차</t>
  </si>
  <si>
    <t>ACC합계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</si>
</sst>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334155"/>
      <name val="Segoe UI"/>
      <family val="2"/>
    </font>
    <font>
      <sz val="8"/>
      <name val="맑은 고딕"/>
      <family val="2"/>
      <charset val="129"/>
      <scheme val="minor"/>
    </font>
    <font>
      <sz val="11"/>
      <color rgb="FF334155"/>
      <name val="맑은 고딕"/>
      <family val="2"/>
      <charset val="129"/>
    </font>
    <font>
      <b/>
      <sz val="11"/>
      <color rgb="FF0F172A"/>
      <name val="Segoe UI"/>
      <family val="2"/>
    </font>
    <font>
      <b/>
      <sz val="11"/>
      <color rgb="FF0F172A"/>
      <name val="맑은 고딕"/>
      <family val="2"/>
      <charset val="129"/>
    </font>
    <font>
      <sz val="11"/>
      <color rgb="FF475569"/>
      <name val="Segoe UI"/>
      <family val="2"/>
    </font>
    <font>
      <sz val="11"/>
      <name val="맑은 고딕"/>
      <family val="3"/>
      <charset val="129"/>
    </font>
    <font>
      <sz val="11"/>
      <color rgb="FF334155"/>
      <name val="돋움"/>
      <family val="3"/>
      <charset val="129"/>
    </font>
    <font>
      <b/>
      <sz val="11"/>
      <color rgb="FF0F172A"/>
      <name val="돋움"/>
      <family val="3"/>
      <charset val="129"/>
    </font>
    <font>
      <sz val="11"/>
      <color rgb="FF475569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 style="medium">
        <color rgb="FFE2E8F0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176" fontId="5" fillId="3" borderId="1" xfId="0" applyNumberFormat="1" applyFont="1" applyFill="1" applyBorder="1" applyAlignment="1">
      <alignment horizontal="right" vertical="center" wrapText="1"/>
    </xf>
    <xf numFmtId="176" fontId="6" fillId="3" borderId="1" xfId="0" applyNumberFormat="1" applyFont="1" applyFill="1" applyBorder="1" applyAlignment="1">
      <alignment horizontal="right" vertical="center" wrapText="1"/>
    </xf>
    <xf numFmtId="9" fontId="0" fillId="0" borderId="0" xfId="2" applyFont="1">
      <alignment vertical="center"/>
    </xf>
    <xf numFmtId="0" fontId="7" fillId="4" borderId="1" xfId="0" applyFont="1" applyFill="1" applyBorder="1" applyAlignment="1">
      <alignment vertical="center" wrapText="1"/>
    </xf>
    <xf numFmtId="176" fontId="7" fillId="4" borderId="1" xfId="0" applyNumberFormat="1" applyFont="1" applyFill="1" applyBorder="1" applyAlignment="1">
      <alignment horizontal="right" vertical="center" wrapText="1"/>
    </xf>
    <xf numFmtId="176" fontId="7" fillId="4" borderId="1" xfId="1" applyNumberFormat="1" applyFont="1" applyFill="1" applyBorder="1" applyAlignment="1">
      <alignment horizontal="right" vertical="center" wrapText="1"/>
    </xf>
    <xf numFmtId="9" fontId="7" fillId="4" borderId="1" xfId="2" applyFont="1" applyFill="1" applyBorder="1" applyAlignment="1">
      <alignment horizontal="right" vertical="center" wrapText="1"/>
    </xf>
    <xf numFmtId="41" fontId="0" fillId="0" borderId="0" xfId="1" applyFont="1">
      <alignment vertical="center"/>
    </xf>
    <xf numFmtId="176" fontId="7" fillId="4" borderId="0" xfId="0" applyNumberFormat="1" applyFont="1" applyFill="1" applyAlignment="1">
      <alignment horizontal="right" vertical="center" wrapText="1"/>
    </xf>
    <xf numFmtId="176" fontId="8" fillId="0" borderId="0" xfId="1" applyNumberFormat="1" applyFont="1" applyAlignment="1"/>
    <xf numFmtId="0" fontId="9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48C9-F799-4A0C-8F1E-8E764E3D9747}">
  <dimension ref="A1:O14"/>
  <sheetViews>
    <sheetView tabSelected="1" workbookViewId="0">
      <selection activeCell="G3" sqref="G3"/>
    </sheetView>
  </sheetViews>
  <sheetFormatPr defaultRowHeight="16.5"/>
  <cols>
    <col min="11" max="11" width="12.5" customWidth="1"/>
  </cols>
  <sheetData>
    <row r="1" spans="1:15" ht="17.25" thickBot="1">
      <c r="A1" s="15" t="s">
        <v>0</v>
      </c>
      <c r="B1" s="1" t="s">
        <v>16</v>
      </c>
      <c r="C1" s="15" t="s">
        <v>1</v>
      </c>
      <c r="D1" s="2" t="s">
        <v>13</v>
      </c>
      <c r="E1" s="15" t="s">
        <v>2</v>
      </c>
      <c r="F1" s="1" t="s">
        <v>17</v>
      </c>
      <c r="G1" s="1"/>
      <c r="H1" s="1" t="s">
        <v>18</v>
      </c>
      <c r="I1" s="15" t="s">
        <v>1</v>
      </c>
      <c r="J1" s="15" t="s">
        <v>2</v>
      </c>
      <c r="K1" s="1" t="s">
        <v>19</v>
      </c>
      <c r="L1" s="15" t="s">
        <v>1</v>
      </c>
      <c r="M1" s="15" t="s">
        <v>2</v>
      </c>
      <c r="N1" s="3" t="s">
        <v>20</v>
      </c>
    </row>
    <row r="2" spans="1:15" ht="17.25" thickBot="1">
      <c r="A2" s="16" t="s">
        <v>3</v>
      </c>
      <c r="B2" s="5">
        <v>86749.213930348269</v>
      </c>
      <c r="C2" s="5">
        <v>100352.7537313433</v>
      </c>
      <c r="D2" s="5">
        <v>187101.96766169157</v>
      </c>
      <c r="E2" s="5">
        <v>88682.870646766169</v>
      </c>
      <c r="F2" s="5">
        <v>83843.171641791065</v>
      </c>
      <c r="G2" s="6"/>
      <c r="H2" s="5">
        <v>80468.743781094541</v>
      </c>
      <c r="I2" s="5">
        <v>27879.629353233831</v>
      </c>
      <c r="J2" s="5">
        <v>19758.597014925374</v>
      </c>
      <c r="K2" s="5">
        <v>75314.771144278609</v>
      </c>
      <c r="L2" s="5">
        <v>73341.92994893952</v>
      </c>
      <c r="M2" s="5">
        <v>80318.283830845772</v>
      </c>
      <c r="N2" s="5">
        <v>74954.305322073837</v>
      </c>
      <c r="O2" s="7" t="s">
        <v>11</v>
      </c>
    </row>
    <row r="3" spans="1:15" ht="17.25" thickBot="1">
      <c r="A3" s="17" t="s">
        <v>14</v>
      </c>
      <c r="B3" s="9">
        <v>0</v>
      </c>
      <c r="C3" s="9">
        <v>49278.509950248765</v>
      </c>
      <c r="D3" s="9">
        <v>49278.509950248765</v>
      </c>
      <c r="E3" s="10">
        <v>20982.786069651745</v>
      </c>
      <c r="F3" s="9">
        <v>28295.723880597019</v>
      </c>
      <c r="G3" s="11"/>
      <c r="H3" s="9">
        <v>0</v>
      </c>
      <c r="I3" s="9">
        <v>0</v>
      </c>
      <c r="J3" s="9">
        <v>0</v>
      </c>
      <c r="K3" s="9">
        <v>0</v>
      </c>
      <c r="L3" s="9">
        <v>51742.4354477612</v>
      </c>
      <c r="M3" s="10">
        <v>23081.064676616923</v>
      </c>
      <c r="N3" s="10">
        <v>28661.370771144277</v>
      </c>
      <c r="O3" s="7">
        <f>+(J3+M3)/(I3+L3)</f>
        <v>0.4460761167672404</v>
      </c>
    </row>
    <row r="4" spans="1:15" ht="17.25" thickBot="1">
      <c r="A4" s="17" t="s">
        <v>15</v>
      </c>
      <c r="B4" s="9">
        <v>0</v>
      </c>
      <c r="C4" s="9">
        <v>47569.378109452737</v>
      </c>
      <c r="D4" s="9">
        <v>47569.378109452737</v>
      </c>
      <c r="E4" s="10">
        <v>25158.937810945277</v>
      </c>
      <c r="F4" s="9">
        <v>18431.597014925377</v>
      </c>
      <c r="G4" s="11"/>
      <c r="H4" s="9">
        <v>0</v>
      </c>
      <c r="I4" s="9">
        <v>27879.629353233831</v>
      </c>
      <c r="J4" s="9">
        <v>4561.8905472636816</v>
      </c>
      <c r="K4" s="9">
        <v>17931</v>
      </c>
      <c r="L4" s="9">
        <v>18094.628829536534</v>
      </c>
      <c r="M4" s="10">
        <v>25628.834825870646</v>
      </c>
      <c r="N4" s="10">
        <v>12409.104948939517</v>
      </c>
      <c r="O4" s="7">
        <f>+(J4+M4)/(I4+L4)</f>
        <v>0.65668760229064049</v>
      </c>
    </row>
    <row r="5" spans="1:15" ht="17.25" thickBot="1">
      <c r="A5" s="8" t="s">
        <v>21</v>
      </c>
      <c r="B5" s="9">
        <v>47442.992537313439</v>
      </c>
      <c r="C5" s="9">
        <v>0</v>
      </c>
      <c r="D5" s="9">
        <v>47442.992537313439</v>
      </c>
      <c r="E5" s="10">
        <v>25075.31592039801</v>
      </c>
      <c r="F5" s="9">
        <v>22818.492537313436</v>
      </c>
      <c r="G5" s="11"/>
      <c r="H5" s="9">
        <v>46727.320895522396</v>
      </c>
      <c r="I5" s="9"/>
      <c r="J5" s="9">
        <v>9030.0995024875629</v>
      </c>
      <c r="K5" s="9">
        <v>32230</v>
      </c>
      <c r="L5" s="9">
        <v>0</v>
      </c>
      <c r="M5" s="10">
        <v>18552.748009950254</v>
      </c>
      <c r="N5" s="10">
        <v>18280.829104477609</v>
      </c>
      <c r="O5" s="7">
        <f t="shared" ref="O5:O10" si="0">+(J5+M5)/(H5+I5+L5)</f>
        <v>0.59029379351986166</v>
      </c>
    </row>
    <row r="6" spans="1:15" ht="17.25" thickBot="1">
      <c r="A6" s="8" t="s">
        <v>22</v>
      </c>
      <c r="B6" s="9">
        <v>31422.47512437811</v>
      </c>
      <c r="C6" s="9">
        <v>0</v>
      </c>
      <c r="D6" s="9">
        <v>31422.47512437811</v>
      </c>
      <c r="E6" s="10">
        <v>13835.61194029851</v>
      </c>
      <c r="F6" s="9">
        <v>10922.930348258707</v>
      </c>
      <c r="G6" s="11"/>
      <c r="H6" s="9">
        <v>22818.492537313436</v>
      </c>
      <c r="I6" s="9"/>
      <c r="J6" s="9">
        <v>4526.5422885572143</v>
      </c>
      <c r="K6" s="9">
        <v>17537.920398009952</v>
      </c>
      <c r="L6" s="9">
        <v>0</v>
      </c>
      <c r="M6" s="10">
        <v>9309.0696517412944</v>
      </c>
      <c r="N6" s="10">
        <v>8228.8507462686575</v>
      </c>
      <c r="O6" s="7">
        <f t="shared" si="0"/>
        <v>0.60633330259105112</v>
      </c>
    </row>
    <row r="7" spans="1:15" ht="17.25" thickBot="1">
      <c r="A7" s="17" t="s">
        <v>4</v>
      </c>
      <c r="B7" s="9">
        <v>0</v>
      </c>
      <c r="C7" s="9">
        <v>3504.8656716417913</v>
      </c>
      <c r="D7" s="9">
        <v>3504.8656716417913</v>
      </c>
      <c r="E7" s="10">
        <v>130.43781094527364</v>
      </c>
      <c r="F7" s="9">
        <v>3374.4278606965177</v>
      </c>
      <c r="G7" s="11"/>
      <c r="H7" s="9">
        <v>0</v>
      </c>
      <c r="I7" s="9"/>
      <c r="J7" s="9">
        <v>0</v>
      </c>
      <c r="K7" s="9">
        <v>0</v>
      </c>
      <c r="L7" s="9">
        <v>3504.8656716417913</v>
      </c>
      <c r="M7" s="10">
        <v>136.95970149253733</v>
      </c>
      <c r="N7" s="10">
        <v>3367.9059701492538</v>
      </c>
      <c r="O7" s="7">
        <f t="shared" si="0"/>
        <v>3.9077018728760869E-2</v>
      </c>
    </row>
    <row r="8" spans="1:15" ht="17.25" thickBot="1">
      <c r="A8" s="17" t="s">
        <v>5</v>
      </c>
      <c r="B8" s="9">
        <v>7883.7462686567178</v>
      </c>
      <c r="C8" s="9">
        <v>0</v>
      </c>
      <c r="D8" s="9">
        <v>7883.7462686567178</v>
      </c>
      <c r="E8" s="10">
        <v>3499.7810945273636</v>
      </c>
      <c r="F8" s="9">
        <v>0</v>
      </c>
      <c r="G8" s="11"/>
      <c r="H8" s="9">
        <v>10922.930348258707</v>
      </c>
      <c r="I8" s="9"/>
      <c r="J8" s="9">
        <v>1640.0646766169154</v>
      </c>
      <c r="K8" s="9">
        <v>7615.8507462686575</v>
      </c>
      <c r="L8" s="9">
        <v>0</v>
      </c>
      <c r="M8" s="10">
        <v>3609.6069651741295</v>
      </c>
      <c r="N8" s="10">
        <v>4006.243781094528</v>
      </c>
      <c r="O8" s="7">
        <f t="shared" si="0"/>
        <v>0.48061019107642006</v>
      </c>
    </row>
    <row r="9" spans="1:15" ht="17.25" thickBot="1">
      <c r="A9" s="4" t="s">
        <v>23</v>
      </c>
      <c r="B9" s="5">
        <v>92883.241293532352</v>
      </c>
      <c r="C9" s="5">
        <v>106399.4447761194</v>
      </c>
      <c r="D9" s="5">
        <v>199282.68606965174</v>
      </c>
      <c r="E9" s="5">
        <v>117481.10398009952</v>
      </c>
      <c r="F9" s="5">
        <v>81801.582089552248</v>
      </c>
      <c r="G9" s="6"/>
      <c r="H9" s="5">
        <v>81801.582089552248</v>
      </c>
      <c r="I9" s="5">
        <v>14691.957711442788</v>
      </c>
      <c r="J9" s="5">
        <v>23856.791044776124</v>
      </c>
      <c r="K9" s="5">
        <v>72636.74875621892</v>
      </c>
      <c r="L9" s="5">
        <v>136813.03106478677</v>
      </c>
      <c r="M9" s="5">
        <v>127837.7941791045</v>
      </c>
      <c r="N9" s="5">
        <v>81611.985641901178</v>
      </c>
      <c r="O9" s="12" t="s">
        <v>12</v>
      </c>
    </row>
    <row r="10" spans="1:15" ht="17.25" thickBot="1">
      <c r="A10" s="17" t="s">
        <v>6</v>
      </c>
      <c r="B10" s="9">
        <v>42064.532338308461</v>
      </c>
      <c r="C10" s="9">
        <v>45475.500248756223</v>
      </c>
      <c r="D10" s="13">
        <v>87540.032587064692</v>
      </c>
      <c r="E10" s="14">
        <v>50193.841044776127</v>
      </c>
      <c r="F10" s="9">
        <v>37346.191542288565</v>
      </c>
      <c r="G10" s="5"/>
      <c r="H10" s="9">
        <v>37346.191542288565</v>
      </c>
      <c r="I10" s="9">
        <v>7773.3432835820859</v>
      </c>
      <c r="J10" s="9">
        <v>11130.61194029851</v>
      </c>
      <c r="K10" s="9">
        <v>33988.922885572145</v>
      </c>
      <c r="L10" s="9">
        <v>58924.316322512088</v>
      </c>
      <c r="M10" s="10">
        <v>54121.381417910459</v>
      </c>
      <c r="N10" s="10">
        <v>38791.857790173774</v>
      </c>
      <c r="O10" s="12">
        <f>+N10/(M10+J10)*52</f>
        <v>30.913639588226722</v>
      </c>
    </row>
    <row r="11" spans="1:15" ht="17.25" thickBot="1">
      <c r="A11" s="17" t="s">
        <v>7</v>
      </c>
      <c r="B11" s="9">
        <v>34349.572139303484</v>
      </c>
      <c r="C11" s="9">
        <v>50593.69825870647</v>
      </c>
      <c r="D11" s="9">
        <v>84943.270398009947</v>
      </c>
      <c r="E11" s="10">
        <v>52476.014179104488</v>
      </c>
      <c r="F11" s="9">
        <v>32467.256218905473</v>
      </c>
      <c r="G11" s="5"/>
      <c r="H11" s="9">
        <v>32467.256218905473</v>
      </c>
      <c r="I11" s="9">
        <v>4630.9129353233875</v>
      </c>
      <c r="J11" s="9">
        <v>9605.9925373134338</v>
      </c>
      <c r="K11" s="9">
        <v>27492.176616915429</v>
      </c>
      <c r="L11" s="9">
        <v>62360.01554091306</v>
      </c>
      <c r="M11" s="10">
        <v>58612.825895522401</v>
      </c>
      <c r="N11" s="10">
        <v>31239.366262306092</v>
      </c>
      <c r="O11" s="12">
        <f t="shared" ref="O11:O13" si="1">+N11/(M11+J11)*52</f>
        <v>23.812301106317904</v>
      </c>
    </row>
    <row r="12" spans="1:15" ht="17.25" thickBot="1">
      <c r="A12" s="17" t="s">
        <v>8</v>
      </c>
      <c r="B12" s="9">
        <v>12900.383084577115</v>
      </c>
      <c r="C12" s="9">
        <v>7300.5124378109458</v>
      </c>
      <c r="D12" s="9">
        <v>20200.895522388062</v>
      </c>
      <c r="E12" s="10">
        <v>11129.641791044778</v>
      </c>
      <c r="F12" s="9">
        <v>9071.253731343284</v>
      </c>
      <c r="G12" s="5"/>
      <c r="H12" s="9">
        <v>9071.253731343284</v>
      </c>
      <c r="I12" s="9">
        <v>1790.654228855723</v>
      </c>
      <c r="J12" s="9">
        <v>2143.0049751243782</v>
      </c>
      <c r="K12" s="9">
        <v>8718.9029850746283</v>
      </c>
      <c r="L12" s="9">
        <v>12810.37064676617</v>
      </c>
      <c r="M12" s="10">
        <v>12325.529353233833</v>
      </c>
      <c r="N12" s="10">
        <v>9203.744278606966</v>
      </c>
      <c r="O12" s="12">
        <f t="shared" si="1"/>
        <v>33.078312676738825</v>
      </c>
    </row>
    <row r="13" spans="1:15" ht="17.25" thickBot="1">
      <c r="A13" s="17" t="s">
        <v>9</v>
      </c>
      <c r="B13" s="9">
        <v>3568.7537313432836</v>
      </c>
      <c r="C13" s="9">
        <v>3029.7338308457715</v>
      </c>
      <c r="D13" s="9">
        <v>6598.4875621890551</v>
      </c>
      <c r="E13" s="10">
        <v>3681.6069651741295</v>
      </c>
      <c r="F13" s="9">
        <v>2916.880597014926</v>
      </c>
      <c r="G13" s="5"/>
      <c r="H13" s="9">
        <v>2916.880597014926</v>
      </c>
      <c r="I13" s="9">
        <v>497.04726368159209</v>
      </c>
      <c r="J13" s="9">
        <v>977.1815920398011</v>
      </c>
      <c r="K13" s="9">
        <v>2436.7462686567169</v>
      </c>
      <c r="L13" s="9">
        <v>2718.3285545954445</v>
      </c>
      <c r="M13" s="10">
        <v>2778.0575124378115</v>
      </c>
      <c r="N13" s="10">
        <v>2377.017310814349</v>
      </c>
      <c r="O13" s="12">
        <f t="shared" si="1"/>
        <v>32.91532089526978</v>
      </c>
    </row>
    <row r="14" spans="1:15" ht="17.25" thickBot="1">
      <c r="A14" s="4" t="s">
        <v>10</v>
      </c>
      <c r="B14" s="5">
        <v>179632.45522388062</v>
      </c>
      <c r="C14" s="5">
        <v>206752.19850746269</v>
      </c>
      <c r="D14" s="5">
        <v>386384.65373134334</v>
      </c>
      <c r="E14" s="5">
        <v>206163.9746268657</v>
      </c>
      <c r="F14" s="5">
        <v>165644.75373134331</v>
      </c>
      <c r="G14" s="5"/>
      <c r="H14" s="5">
        <v>162270.3258706468</v>
      </c>
      <c r="I14" s="5">
        <v>42571.58706467662</v>
      </c>
      <c r="J14" s="5">
        <v>43615.388059701494</v>
      </c>
      <c r="K14" s="5">
        <v>147951.51990049751</v>
      </c>
      <c r="L14" s="5">
        <v>210154.96101372631</v>
      </c>
      <c r="M14" s="5">
        <v>208156.07800995029</v>
      </c>
      <c r="N14" s="5">
        <v>156566.29096397501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Bryan_An(안병우) F/KR/MGT/FPA</dc:creator>
  <cp:lastModifiedBy>Bryan_An(안병우) F/KR/MGT/FPA</cp:lastModifiedBy>
  <dcterms:created xsi:type="dcterms:W3CDTF">2026-03-24T07:01:08Z</dcterms:created>
  <dcterms:modified xsi:type="dcterms:W3CDTF">2026-04-02T09:04:57Z</dcterms:modified>
</cp:coreProperties>
</file>