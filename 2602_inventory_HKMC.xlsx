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work_space\Working Capital Dashboard\cashflow\"/>
    </mc:Choice>
  </mc:AlternateContent>
  <xr:revisionPtr revIDLastSave="0" documentId="13_ncr:1_{BBAA4D41-E09C-40F7-A548-B07B0FE96772}" xr6:coauthVersionLast="47" xr6:coauthVersionMax="47" xr10:uidLastSave="{00000000-0000-0000-0000-000000000000}"/>
  <bookViews>
    <workbookView xWindow="-120" yWindow="-120" windowWidth="26430" windowHeight="16440" xr2:uid="{D593AF19-A322-4513-BC5A-A55E0694C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2" i="1"/>
  <c r="O11" i="1"/>
  <c r="O10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<sst xmlns="http://schemas.openxmlformats.org/spreadsheetml/2006/main" count="30" uniqueCount="26">
  <si>
    <t>구분</t>
  </si>
  <si>
    <t>입고</t>
  </si>
  <si>
    <t>판매</t>
  </si>
  <si>
    <t>의류합계</t>
  </si>
  <si>
    <t>차기시즌</t>
  </si>
  <si>
    <t>과시즌</t>
  </si>
  <si>
    <t>신발</t>
  </si>
  <si>
    <t>모자</t>
  </si>
  <si>
    <t>가방</t>
  </si>
  <si>
    <t>기타</t>
  </si>
  <si>
    <t>Total</t>
  </si>
  <si>
    <t>판매율</t>
    <phoneticPr fontId="3" type="noConversion"/>
  </si>
  <si>
    <t>재고주수</t>
    <phoneticPr fontId="3" type="noConversion"/>
  </si>
  <si>
    <t>판매율</t>
  </si>
  <si>
    <t>재고주수</t>
  </si>
  <si>
    <t>판매가능</t>
  </si>
  <si>
    <r>
      <t>25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기초</t>
    </r>
  </si>
  <si>
    <r>
      <t>25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기말</t>
    </r>
  </si>
  <si>
    <r>
      <t>26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기초</t>
    </r>
  </si>
  <si>
    <r>
      <t>26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2</t>
    </r>
    <r>
      <rPr>
        <sz val="11"/>
        <color rgb="FF334155"/>
        <rFont val="돋움"/>
        <family val="3"/>
        <charset val="129"/>
      </rPr>
      <t>월말</t>
    </r>
  </si>
  <si>
    <r>
      <t>26</t>
    </r>
    <r>
      <rPr>
        <sz val="11"/>
        <color rgb="FF334155"/>
        <rFont val="돋움"/>
        <family val="3"/>
        <charset val="129"/>
      </rPr>
      <t>년</t>
    </r>
    <r>
      <rPr>
        <sz val="11"/>
        <color rgb="FF334155"/>
        <rFont val="Segoe UI"/>
        <family val="2"/>
      </rPr>
      <t xml:space="preserve"> </t>
    </r>
    <r>
      <rPr>
        <sz val="11"/>
        <color rgb="FF334155"/>
        <rFont val="돋움"/>
        <family val="3"/>
        <charset val="129"/>
      </rPr>
      <t>기말</t>
    </r>
  </si>
  <si>
    <r>
      <t>1</t>
    </r>
    <r>
      <rPr>
        <sz val="11"/>
        <color rgb="FF475569"/>
        <rFont val="돋움"/>
        <family val="3"/>
        <charset val="129"/>
      </rPr>
      <t>년차</t>
    </r>
  </si>
  <si>
    <r>
      <t>2</t>
    </r>
    <r>
      <rPr>
        <sz val="11"/>
        <color rgb="FF475569"/>
        <rFont val="돋움"/>
        <family val="3"/>
        <charset val="129"/>
      </rPr>
      <t>년차</t>
    </r>
  </si>
  <si>
    <r>
      <t>ACC</t>
    </r>
    <r>
      <rPr>
        <b/>
        <sz val="11"/>
        <color rgb="FF0F172A"/>
        <rFont val="돋움"/>
        <family val="3"/>
        <charset val="129"/>
      </rPr>
      <t>합계</t>
    </r>
  </si>
  <si>
    <t>당년F</t>
  </si>
  <si>
    <t>당년S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</si>
</sst>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34155"/>
      <name val="Segoe UI"/>
      <family val="2"/>
    </font>
    <font>
      <sz val="8"/>
      <name val="맑은 고딕"/>
      <family val="2"/>
      <charset val="129"/>
      <scheme val="minor"/>
    </font>
    <font>
      <sz val="11"/>
      <color rgb="FF334155"/>
      <name val="맑은 고딕"/>
      <family val="2"/>
      <charset val="129"/>
    </font>
    <font>
      <b/>
      <sz val="11"/>
      <color rgb="FF0F172A"/>
      <name val="Segoe UI"/>
      <family val="2"/>
    </font>
    <font>
      <b/>
      <sz val="11"/>
      <color rgb="FF0F172A"/>
      <name val="맑은 고딕"/>
      <family val="2"/>
      <charset val="129"/>
    </font>
    <font>
      <sz val="11"/>
      <color rgb="FF475569"/>
      <name val="Segoe UI"/>
      <family val="2"/>
    </font>
    <font>
      <sz val="11"/>
      <name val="맑은 고딕"/>
      <family val="3"/>
      <charset val="129"/>
    </font>
    <font>
      <sz val="11"/>
      <color rgb="FF334155"/>
      <name val="돋움"/>
      <family val="3"/>
      <charset val="129"/>
    </font>
    <font>
      <b/>
      <sz val="11"/>
      <color rgb="FF0F172A"/>
      <name val="돋움"/>
      <family val="3"/>
      <charset val="129"/>
    </font>
    <font>
      <sz val="11"/>
      <color rgb="FF47556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76" fontId="5" fillId="3" borderId="1" xfId="0" applyNumberFormat="1" applyFont="1" applyFill="1" applyBorder="1" applyAlignment="1">
      <alignment horizontal="right" vertical="center" wrapText="1"/>
    </xf>
    <xf numFmtId="176" fontId="6" fillId="3" borderId="1" xfId="0" applyNumberFormat="1" applyFont="1" applyFill="1" applyBorder="1" applyAlignment="1">
      <alignment horizontal="right" vertical="center" wrapText="1"/>
    </xf>
    <xf numFmtId="9" fontId="0" fillId="0" borderId="0" xfId="2" applyFont="1">
      <alignment vertical="center"/>
    </xf>
    <xf numFmtId="0" fontId="7" fillId="4" borderId="1" xfId="0" applyFont="1" applyFill="1" applyBorder="1" applyAlignment="1">
      <alignment vertical="center" wrapText="1"/>
    </xf>
    <xf numFmtId="176" fontId="7" fillId="4" borderId="1" xfId="0" applyNumberFormat="1" applyFont="1" applyFill="1" applyBorder="1" applyAlignment="1">
      <alignment horizontal="right" vertical="center" wrapText="1"/>
    </xf>
    <xf numFmtId="176" fontId="7" fillId="4" borderId="1" xfId="1" applyNumberFormat="1" applyFont="1" applyFill="1" applyBorder="1" applyAlignment="1">
      <alignment horizontal="right" vertical="center" wrapText="1"/>
    </xf>
    <xf numFmtId="9" fontId="7" fillId="4" borderId="1" xfId="2" applyFont="1" applyFill="1" applyBorder="1" applyAlignment="1">
      <alignment horizontal="right" vertical="center" wrapText="1"/>
    </xf>
    <xf numFmtId="41" fontId="0" fillId="0" borderId="0" xfId="1" applyFont="1">
      <alignment vertical="center"/>
    </xf>
    <xf numFmtId="176" fontId="7" fillId="4" borderId="0" xfId="0" applyNumberFormat="1" applyFont="1" applyFill="1" applyAlignment="1">
      <alignment horizontal="right" vertical="center" wrapText="1"/>
    </xf>
    <xf numFmtId="176" fontId="8" fillId="0" borderId="0" xfId="1" applyNumberFormat="1" applyFont="1" applyAlignment="1"/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8C9-F799-4A0C-8F1E-8E764E3D9747}">
  <dimension ref="A1:O14"/>
  <sheetViews>
    <sheetView tabSelected="1" workbookViewId="0">
      <selection activeCell="G3" sqref="G3"/>
    </sheetView>
  </sheetViews>
  <sheetFormatPr defaultRowHeight="16.5"/>
  <cols>
    <col min="11" max="11" width="12.5" customWidth="1"/>
  </cols>
  <sheetData>
    <row r="1" spans="1:15" ht="17.25" thickBot="1">
      <c r="A1" s="15" t="s">
        <v>0</v>
      </c>
      <c r="B1" s="1" t="s">
        <v>16</v>
      </c>
      <c r="C1" s="15" t="s">
        <v>1</v>
      </c>
      <c r="D1" s="2" t="s">
        <v>15</v>
      </c>
      <c r="E1" s="15" t="s">
        <v>2</v>
      </c>
      <c r="F1" s="1" t="s">
        <v>17</v>
      </c>
      <c r="G1" s="1"/>
      <c r="H1" s="1" t="s">
        <v>18</v>
      </c>
      <c r="I1" s="15" t="s">
        <v>1</v>
      </c>
      <c r="J1" s="15" t="s">
        <v>2</v>
      </c>
      <c r="K1" s="1" t="s">
        <v>19</v>
      </c>
      <c r="L1" s="15" t="s">
        <v>1</v>
      </c>
      <c r="M1" s="15" t="s">
        <v>2</v>
      </c>
      <c r="N1" s="3" t="s">
        <v>20</v>
      </c>
    </row>
    <row r="2" spans="1:15" ht="17.25" thickBot="1">
      <c r="A2" s="16" t="s">
        <v>3</v>
      </c>
      <c r="B2" s="5">
        <v>211006</v>
      </c>
      <c r="C2" s="5">
        <v>167876</v>
      </c>
      <c r="D2" s="5">
        <v>378882</v>
      </c>
      <c r="E2" s="5">
        <v>165266</v>
      </c>
      <c r="F2" s="5">
        <v>214752</v>
      </c>
      <c r="G2" s="6" t="s">
        <v>13</v>
      </c>
      <c r="H2" s="5">
        <v>203512</v>
      </c>
      <c r="I2" s="5">
        <v>51814</v>
      </c>
      <c r="J2" s="5">
        <v>40415</v>
      </c>
      <c r="K2" s="5">
        <v>216515</v>
      </c>
      <c r="L2" s="5">
        <v>112011</v>
      </c>
      <c r="M2" s="5">
        <v>149896</v>
      </c>
      <c r="N2" s="5">
        <v>178630</v>
      </c>
      <c r="O2" s="7" t="s">
        <v>11</v>
      </c>
    </row>
    <row r="3" spans="1:15" ht="17.25" thickBot="1">
      <c r="A3" s="17" t="s">
        <v>24</v>
      </c>
      <c r="B3" s="9">
        <v>0</v>
      </c>
      <c r="C3" s="9">
        <v>73043</v>
      </c>
      <c r="D3" s="9">
        <v>73043</v>
      </c>
      <c r="E3" s="10">
        <v>36147</v>
      </c>
      <c r="F3" s="9">
        <v>36897</v>
      </c>
      <c r="G3" s="11">
        <v>0.49</v>
      </c>
      <c r="H3" s="9">
        <v>0</v>
      </c>
      <c r="I3" s="9"/>
      <c r="J3" s="9">
        <v>0</v>
      </c>
      <c r="K3" s="9">
        <v>0</v>
      </c>
      <c r="L3" s="9">
        <v>73286</v>
      </c>
      <c r="M3" s="10">
        <v>41101</v>
      </c>
      <c r="N3" s="10">
        <v>32184</v>
      </c>
      <c r="O3" s="7">
        <f t="shared" ref="O3:O8" si="0">+(J3+M3)/(H3+I3+L3)</f>
        <v>0.56083017220205766</v>
      </c>
    </row>
    <row r="4" spans="1:15" ht="17.25" thickBot="1">
      <c r="A4" s="17" t="s">
        <v>25</v>
      </c>
      <c r="B4" s="9"/>
      <c r="C4" s="9">
        <v>83119</v>
      </c>
      <c r="D4" s="9">
        <v>83119</v>
      </c>
      <c r="E4" s="10">
        <v>48376</v>
      </c>
      <c r="F4" s="9">
        <v>34743</v>
      </c>
      <c r="G4" s="11">
        <v>0.57999999999999996</v>
      </c>
      <c r="H4" s="9"/>
      <c r="I4" s="9">
        <v>51814</v>
      </c>
      <c r="J4" s="9">
        <v>10647</v>
      </c>
      <c r="K4" s="9">
        <v>41167</v>
      </c>
      <c r="L4" s="9">
        <v>27012</v>
      </c>
      <c r="M4" s="10">
        <v>44986</v>
      </c>
      <c r="N4" s="10">
        <v>23193</v>
      </c>
      <c r="O4" s="7">
        <f t="shared" si="0"/>
        <v>0.70576966990586865</v>
      </c>
    </row>
    <row r="5" spans="1:15" ht="17.25" thickBot="1">
      <c r="A5" s="8" t="s">
        <v>21</v>
      </c>
      <c r="B5" s="9">
        <v>116967</v>
      </c>
      <c r="C5" s="9"/>
      <c r="D5" s="9">
        <v>116967</v>
      </c>
      <c r="E5" s="10">
        <v>50041</v>
      </c>
      <c r="F5" s="9">
        <v>68394</v>
      </c>
      <c r="G5" s="11">
        <v>0.43</v>
      </c>
      <c r="H5" s="9">
        <v>71640</v>
      </c>
      <c r="I5" s="9"/>
      <c r="J5" s="9">
        <v>15830</v>
      </c>
      <c r="K5" s="9">
        <v>56306</v>
      </c>
      <c r="L5" s="9"/>
      <c r="M5" s="10">
        <v>34312</v>
      </c>
      <c r="N5" s="10">
        <v>21994</v>
      </c>
      <c r="O5" s="7">
        <f t="shared" si="0"/>
        <v>0.69991624790619766</v>
      </c>
    </row>
    <row r="6" spans="1:15" ht="17.25" thickBot="1">
      <c r="A6" s="8" t="s">
        <v>22</v>
      </c>
      <c r="B6" s="9">
        <v>72725</v>
      </c>
      <c r="C6" s="9"/>
      <c r="D6" s="9">
        <v>72725</v>
      </c>
      <c r="E6" s="10">
        <v>25635</v>
      </c>
      <c r="F6" s="9">
        <v>47535</v>
      </c>
      <c r="G6" s="11">
        <v>0.35</v>
      </c>
      <c r="H6" s="9">
        <v>68394</v>
      </c>
      <c r="I6" s="9"/>
      <c r="J6" s="9">
        <v>7266</v>
      </c>
      <c r="K6" s="9">
        <v>60596</v>
      </c>
      <c r="L6" s="9"/>
      <c r="M6" s="10">
        <v>19953</v>
      </c>
      <c r="N6" s="10">
        <v>40642</v>
      </c>
      <c r="O6" s="7">
        <f t="shared" si="0"/>
        <v>0.39797350644793406</v>
      </c>
    </row>
    <row r="7" spans="1:15" ht="17.25" thickBot="1">
      <c r="A7" s="17" t="s">
        <v>4</v>
      </c>
      <c r="B7" s="9">
        <v>0</v>
      </c>
      <c r="C7" s="9">
        <v>11713</v>
      </c>
      <c r="D7" s="9">
        <v>11713</v>
      </c>
      <c r="E7" s="10">
        <v>473</v>
      </c>
      <c r="F7" s="9">
        <v>11240</v>
      </c>
      <c r="G7" s="11">
        <v>0.04</v>
      </c>
      <c r="H7" s="9">
        <v>0</v>
      </c>
      <c r="I7" s="9"/>
      <c r="J7" s="9"/>
      <c r="K7" s="9">
        <v>0</v>
      </c>
      <c r="L7" s="9">
        <v>11713</v>
      </c>
      <c r="M7" s="10">
        <v>620</v>
      </c>
      <c r="N7" s="10">
        <v>11093</v>
      </c>
      <c r="O7" s="7">
        <f t="shared" si="0"/>
        <v>5.2932638948177242E-2</v>
      </c>
    </row>
    <row r="8" spans="1:15" ht="17.25" thickBot="1">
      <c r="A8" s="17" t="s">
        <v>5</v>
      </c>
      <c r="B8" s="9">
        <v>21314</v>
      </c>
      <c r="C8" s="9"/>
      <c r="D8" s="9">
        <v>21314</v>
      </c>
      <c r="E8" s="10">
        <v>4594</v>
      </c>
      <c r="F8" s="9">
        <v>15943</v>
      </c>
      <c r="G8" s="11">
        <v>0.22</v>
      </c>
      <c r="H8" s="9">
        <v>63478</v>
      </c>
      <c r="I8" s="9"/>
      <c r="J8" s="9">
        <v>6672</v>
      </c>
      <c r="K8" s="9">
        <v>58446</v>
      </c>
      <c r="L8" s="9"/>
      <c r="M8" s="10">
        <v>8924</v>
      </c>
      <c r="N8" s="10">
        <v>49522</v>
      </c>
      <c r="O8" s="7">
        <f t="shared" si="0"/>
        <v>0.24569142064967389</v>
      </c>
    </row>
    <row r="9" spans="1:15" ht="17.25" thickBot="1">
      <c r="A9" s="4" t="s">
        <v>23</v>
      </c>
      <c r="B9" s="5">
        <v>168561</v>
      </c>
      <c r="C9" s="5">
        <v>131295</v>
      </c>
      <c r="D9" s="5">
        <v>299856</v>
      </c>
      <c r="E9" s="5">
        <v>151344</v>
      </c>
      <c r="F9" s="5">
        <v>148512</v>
      </c>
      <c r="G9" s="6" t="s">
        <v>14</v>
      </c>
      <c r="H9" s="5">
        <v>148512</v>
      </c>
      <c r="I9" s="5">
        <v>28578</v>
      </c>
      <c r="J9" s="5">
        <v>40652</v>
      </c>
      <c r="K9" s="5">
        <v>136438</v>
      </c>
      <c r="L9" s="5">
        <v>126612</v>
      </c>
      <c r="M9" s="5">
        <v>129013</v>
      </c>
      <c r="N9" s="5">
        <v>134038</v>
      </c>
      <c r="O9" s="12" t="s">
        <v>12</v>
      </c>
    </row>
    <row r="10" spans="1:15" ht="17.25" thickBot="1">
      <c r="A10" s="17" t="s">
        <v>6</v>
      </c>
      <c r="B10" s="9">
        <v>68304</v>
      </c>
      <c r="C10" s="9">
        <v>61030</v>
      </c>
      <c r="D10" s="13">
        <v>129334</v>
      </c>
      <c r="E10" s="14">
        <v>68525</v>
      </c>
      <c r="F10" s="9">
        <v>60809</v>
      </c>
      <c r="G10" s="5">
        <v>46</v>
      </c>
      <c r="H10" s="9">
        <v>60809</v>
      </c>
      <c r="I10" s="9">
        <v>13453</v>
      </c>
      <c r="J10" s="9">
        <v>18069</v>
      </c>
      <c r="K10" s="9">
        <v>56193</v>
      </c>
      <c r="L10" s="9">
        <v>56732</v>
      </c>
      <c r="M10" s="10">
        <v>45667</v>
      </c>
      <c r="N10" s="10">
        <v>67258</v>
      </c>
      <c r="O10" s="12">
        <f>+N10/(M10+J10)*52</f>
        <v>54.873478097150745</v>
      </c>
    </row>
    <row r="11" spans="1:15" ht="17.25" thickBot="1">
      <c r="A11" s="17" t="s">
        <v>7</v>
      </c>
      <c r="B11" s="9">
        <v>66873</v>
      </c>
      <c r="C11" s="9">
        <v>55921</v>
      </c>
      <c r="D11" s="9">
        <v>122794</v>
      </c>
      <c r="E11" s="10">
        <v>59204</v>
      </c>
      <c r="F11" s="9">
        <v>63591</v>
      </c>
      <c r="G11" s="5">
        <v>56</v>
      </c>
      <c r="H11" s="9">
        <v>63591</v>
      </c>
      <c r="I11" s="9">
        <v>10431</v>
      </c>
      <c r="J11" s="9">
        <v>15780</v>
      </c>
      <c r="K11" s="9">
        <v>58242</v>
      </c>
      <c r="L11" s="9">
        <v>53878</v>
      </c>
      <c r="M11" s="10">
        <v>67158</v>
      </c>
      <c r="N11" s="10">
        <v>44962</v>
      </c>
      <c r="O11" s="12">
        <f>+N11/(M11+J11)*52</f>
        <v>28.190021461814851</v>
      </c>
    </row>
    <row r="12" spans="1:15" ht="17.25" thickBot="1">
      <c r="A12" s="17" t="s">
        <v>8</v>
      </c>
      <c r="B12" s="9">
        <v>25865</v>
      </c>
      <c r="C12" s="9">
        <v>13890</v>
      </c>
      <c r="D12" s="9">
        <v>39755</v>
      </c>
      <c r="E12" s="10">
        <v>19783</v>
      </c>
      <c r="F12" s="9">
        <v>19972</v>
      </c>
      <c r="G12" s="5">
        <v>52</v>
      </c>
      <c r="H12" s="9">
        <v>19972</v>
      </c>
      <c r="I12" s="9">
        <v>2534</v>
      </c>
      <c r="J12" s="9">
        <v>3862</v>
      </c>
      <c r="K12" s="9">
        <v>18644</v>
      </c>
      <c r="L12" s="9">
        <v>13440</v>
      </c>
      <c r="M12" s="10">
        <v>14178</v>
      </c>
      <c r="N12" s="10">
        <v>17905</v>
      </c>
      <c r="O12" s="12">
        <f>+N12/(M12+J12)*52</f>
        <v>51.610864745011085</v>
      </c>
    </row>
    <row r="13" spans="1:15" ht="17.25" thickBot="1">
      <c r="A13" s="17" t="s">
        <v>9</v>
      </c>
      <c r="B13" s="9">
        <v>7519</v>
      </c>
      <c r="C13" s="9">
        <v>454</v>
      </c>
      <c r="D13" s="9">
        <v>7973</v>
      </c>
      <c r="E13" s="10">
        <v>3832</v>
      </c>
      <c r="F13" s="9">
        <v>4141</v>
      </c>
      <c r="G13" s="5">
        <v>56</v>
      </c>
      <c r="H13" s="9">
        <v>4141</v>
      </c>
      <c r="I13" s="9">
        <v>2160</v>
      </c>
      <c r="J13" s="9">
        <v>2940</v>
      </c>
      <c r="K13" s="9">
        <v>3360</v>
      </c>
      <c r="L13" s="9">
        <v>2563</v>
      </c>
      <c r="M13" s="10">
        <v>2011</v>
      </c>
      <c r="N13" s="10">
        <v>3912</v>
      </c>
      <c r="O13" s="12">
        <f>+N13/(M13+J13)*52</f>
        <v>41.087457079377906</v>
      </c>
    </row>
    <row r="14" spans="1:15" ht="17.25" thickBot="1">
      <c r="A14" s="4" t="s">
        <v>10</v>
      </c>
      <c r="B14" s="5">
        <v>379567</v>
      </c>
      <c r="C14" s="5">
        <v>299171</v>
      </c>
      <c r="D14" s="5">
        <v>678738</v>
      </c>
      <c r="E14" s="5">
        <v>316610</v>
      </c>
      <c r="F14" s="5">
        <v>363265</v>
      </c>
      <c r="G14" s="5"/>
      <c r="H14" s="5">
        <v>352025</v>
      </c>
      <c r="I14" s="5">
        <v>80392</v>
      </c>
      <c r="J14" s="5">
        <v>81066</v>
      </c>
      <c r="K14" s="5">
        <v>352953</v>
      </c>
      <c r="L14" s="5">
        <v>238623</v>
      </c>
      <c r="M14" s="5">
        <v>278909</v>
      </c>
      <c r="N14" s="5">
        <v>312667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Bryan_An(안병우) F/KR/MGT/FPA</dc:creator>
  <cp:lastModifiedBy>Bryan_An(안병우) F/KR/MGT/FPA</cp:lastModifiedBy>
  <dcterms:created xsi:type="dcterms:W3CDTF">2026-03-24T07:01:08Z</dcterms:created>
  <dcterms:modified xsi:type="dcterms:W3CDTF">2026-04-02T09:05:01Z</dcterms:modified>
</cp:coreProperties>
</file>