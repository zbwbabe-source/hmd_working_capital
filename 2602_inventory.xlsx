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ursor_work_space\Working Capital Dashboard\cashflow\"/>
    </mc:Choice>
  </mc:AlternateContent>
  <xr:revisionPtr revIDLastSave="0" documentId="13_ncr:1_{48427C41-EC9D-4350-AC2D-B5184814ED5D}" xr6:coauthVersionLast="47" xr6:coauthVersionMax="47" xr10:uidLastSave="{00000000-0000-0000-0000-000000000000}"/>
  <bookViews>
    <workbookView xWindow="-120" yWindow="-120" windowWidth="26430" windowHeight="16440" xr2:uid="{D593AF19-A322-4513-BC5A-A55E0694C25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" i="1" l="1"/>
  <c r="O12" i="1"/>
  <c r="O11" i="1"/>
  <c r="O10" i="1"/>
  <c r="O8" i="1"/>
  <c r="O7" i="1"/>
  <c r="O6" i="1"/>
  <c r="O5" i="1"/>
  <c r="O4" i="1"/>
  <c r="O3" i="1"/>
</calcChain>
</file>

<file path=xl/sharedStrings.xml><?xml version="1.0" encoding="utf-8"?>
<sst xmlns="http://schemas.openxmlformats.org/spreadsheetml/2006/main" count="30" uniqueCount="26">
  <si>
    <t>구분</t>
  </si>
  <si>
    <t>25년 기초</t>
  </si>
  <si>
    <t>입고</t>
  </si>
  <si>
    <t>판매</t>
  </si>
  <si>
    <t>25년 기말</t>
  </si>
  <si>
    <t>26년 기초</t>
  </si>
  <si>
    <t>26년 기말</t>
  </si>
  <si>
    <t>의류합계</t>
  </si>
  <si>
    <t>당년F</t>
  </si>
  <si>
    <t>당년S</t>
  </si>
  <si>
    <t>1년차</t>
  </si>
  <si>
    <t>2년차</t>
  </si>
  <si>
    <t>차기시즌</t>
  </si>
  <si>
    <t>과시즌</t>
  </si>
  <si>
    <t>ACC합계</t>
  </si>
  <si>
    <t>신발</t>
  </si>
  <si>
    <t>모자</t>
  </si>
  <si>
    <t>가방</t>
  </si>
  <si>
    <t>기타</t>
  </si>
  <si>
    <t>Total</t>
  </si>
  <si>
    <t>판매가능</t>
    <phoneticPr fontId="3" type="noConversion"/>
  </si>
  <si>
    <t>26년 2월말</t>
    <phoneticPr fontId="3" type="noConversion"/>
  </si>
  <si>
    <t>판매율</t>
    <phoneticPr fontId="3" type="noConversion"/>
  </si>
  <si>
    <t>재고주수</t>
    <phoneticPr fontId="3" type="noConversion"/>
  </si>
  <si>
    <t>판매율</t>
  </si>
  <si>
    <t>재고주수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</si>
</sst>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,##0_);[Red]\(#,##0\)"/>
  </numFmts>
  <fonts count="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334155"/>
      <name val="Segoe UI"/>
      <family val="2"/>
    </font>
    <font>
      <sz val="8"/>
      <name val="맑은 고딕"/>
      <family val="2"/>
      <charset val="129"/>
      <scheme val="minor"/>
    </font>
    <font>
      <sz val="11"/>
      <color rgb="FF334155"/>
      <name val="맑은 고딕"/>
      <family val="2"/>
      <charset val="129"/>
    </font>
    <font>
      <b/>
      <sz val="11"/>
      <color rgb="FF0F172A"/>
      <name val="Segoe UI"/>
      <family val="2"/>
    </font>
    <font>
      <b/>
      <sz val="11"/>
      <color rgb="FF0F172A"/>
      <name val="맑은 고딕"/>
      <family val="2"/>
      <charset val="129"/>
    </font>
    <font>
      <sz val="11"/>
      <color rgb="FF475569"/>
      <name val="Segoe UI"/>
      <family val="2"/>
    </font>
    <font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E2E8F0"/>
      </left>
      <right style="medium">
        <color rgb="FFE2E8F0"/>
      </right>
      <top style="medium">
        <color rgb="FFE2E8F0"/>
      </top>
      <bottom style="medium">
        <color rgb="FFE2E8F0"/>
      </bottom>
      <diagonal/>
    </border>
    <border>
      <left style="medium">
        <color rgb="FFE2E8F0"/>
      </left>
      <right style="medium">
        <color rgb="FFE2E8F0"/>
      </right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vertical="center" wrapText="1"/>
    </xf>
    <xf numFmtId="176" fontId="5" fillId="3" borderId="1" xfId="0" applyNumberFormat="1" applyFont="1" applyFill="1" applyBorder="1" applyAlignment="1">
      <alignment horizontal="right" vertical="center" wrapText="1"/>
    </xf>
    <xf numFmtId="176" fontId="6" fillId="3" borderId="1" xfId="0" applyNumberFormat="1" applyFont="1" applyFill="1" applyBorder="1" applyAlignment="1">
      <alignment horizontal="right" vertical="center" wrapText="1"/>
    </xf>
    <xf numFmtId="9" fontId="0" fillId="0" borderId="0" xfId="2" applyFont="1">
      <alignment vertical="center"/>
    </xf>
    <xf numFmtId="0" fontId="7" fillId="4" borderId="1" xfId="0" applyFont="1" applyFill="1" applyBorder="1" applyAlignment="1">
      <alignment vertical="center" wrapText="1"/>
    </xf>
    <xf numFmtId="176" fontId="7" fillId="4" borderId="1" xfId="0" applyNumberFormat="1" applyFont="1" applyFill="1" applyBorder="1" applyAlignment="1">
      <alignment horizontal="right" vertical="center" wrapText="1"/>
    </xf>
    <xf numFmtId="176" fontId="7" fillId="4" borderId="1" xfId="1" applyNumberFormat="1" applyFont="1" applyFill="1" applyBorder="1" applyAlignment="1">
      <alignment horizontal="right" vertical="center" wrapText="1"/>
    </xf>
    <xf numFmtId="9" fontId="7" fillId="4" borderId="1" xfId="2" applyFont="1" applyFill="1" applyBorder="1" applyAlignment="1">
      <alignment horizontal="right" vertical="center" wrapText="1"/>
    </xf>
    <xf numFmtId="41" fontId="0" fillId="0" borderId="0" xfId="1" applyFont="1">
      <alignment vertical="center"/>
    </xf>
    <xf numFmtId="176" fontId="7" fillId="4" borderId="0" xfId="0" applyNumberFormat="1" applyFont="1" applyFill="1" applyAlignment="1">
      <alignment horizontal="right" vertical="center" wrapText="1"/>
    </xf>
    <xf numFmtId="176" fontId="8" fillId="0" borderId="0" xfId="1" applyNumberFormat="1" applyFont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48C9-F799-4A0C-8F1E-8E764E3D9747}">
  <dimension ref="A1:O14"/>
  <sheetViews>
    <sheetView tabSelected="1" workbookViewId="0">
      <selection activeCell="Q8" sqref="Q8"/>
    </sheetView>
  </sheetViews>
  <sheetFormatPr defaultRowHeight="16.5"/>
  <cols>
    <col min="11" max="11" width="12.5" customWidth="1"/>
  </cols>
  <sheetData>
    <row r="1" spans="1:15" ht="17.25" thickBot="1">
      <c r="A1" s="1" t="s">
        <v>0</v>
      </c>
      <c r="B1" s="1" t="s">
        <v>1</v>
      </c>
      <c r="C1" s="1" t="s">
        <v>2</v>
      </c>
      <c r="D1" s="2" t="s">
        <v>20</v>
      </c>
      <c r="E1" s="1" t="s">
        <v>3</v>
      </c>
      <c r="F1" s="1" t="s">
        <v>4</v>
      </c>
      <c r="G1" s="1"/>
      <c r="H1" s="1" t="s">
        <v>5</v>
      </c>
      <c r="I1" s="1" t="s">
        <v>2</v>
      </c>
      <c r="J1" s="1" t="s">
        <v>3</v>
      </c>
      <c r="K1" s="1" t="s">
        <v>21</v>
      </c>
      <c r="L1" s="1" t="s">
        <v>2</v>
      </c>
      <c r="M1" s="1" t="s">
        <v>3</v>
      </c>
      <c r="N1" s="3" t="s">
        <v>6</v>
      </c>
    </row>
    <row r="2" spans="1:15" ht="17.25" thickBot="1">
      <c r="A2" s="4" t="s">
        <v>7</v>
      </c>
      <c r="B2" s="5">
        <v>217454</v>
      </c>
      <c r="C2" s="5">
        <v>161427.74374757282</v>
      </c>
      <c r="D2" s="5">
        <v>378881.74374757282</v>
      </c>
      <c r="E2" s="5">
        <v>165266.46206174759</v>
      </c>
      <c r="F2" s="5">
        <v>214752.25308737866</v>
      </c>
      <c r="G2" s="6" t="s">
        <v>24</v>
      </c>
      <c r="H2" s="5">
        <v>214752.25308737866</v>
      </c>
      <c r="I2" s="5">
        <v>40574.291046728154</v>
      </c>
      <c r="J2" s="5">
        <v>40414.686814000001</v>
      </c>
      <c r="K2" s="5">
        <v>216515.101</v>
      </c>
      <c r="L2" s="5">
        <v>96010.846325011575</v>
      </c>
      <c r="M2" s="5">
        <v>155477.51871815659</v>
      </c>
      <c r="N2" s="5">
        <v>157048.42860685498</v>
      </c>
      <c r="O2" s="7" t="s">
        <v>22</v>
      </c>
    </row>
    <row r="3" spans="1:15" ht="17.25" thickBot="1">
      <c r="A3" s="8" t="s">
        <v>8</v>
      </c>
      <c r="B3" s="9">
        <v>0</v>
      </c>
      <c r="C3" s="9">
        <v>73043.318019417478</v>
      </c>
      <c r="D3" s="9">
        <v>73043.318019417478</v>
      </c>
      <c r="E3" s="10">
        <v>36146.54977669903</v>
      </c>
      <c r="F3" s="9">
        <v>36896.768242718448</v>
      </c>
      <c r="G3" s="11">
        <v>0.4948645647106284</v>
      </c>
      <c r="H3" s="9">
        <v>0</v>
      </c>
      <c r="I3" s="9"/>
      <c r="J3" s="9">
        <v>0</v>
      </c>
      <c r="K3" s="9">
        <v>0</v>
      </c>
      <c r="L3" s="9">
        <v>73285.686309523808</v>
      </c>
      <c r="M3" s="10">
        <v>41101.260978671824</v>
      </c>
      <c r="N3" s="10">
        <v>32184.425330851984</v>
      </c>
      <c r="O3" s="7">
        <f t="shared" ref="O3:O8" si="0">+(J3+M3)/(H3+I3+L3)</f>
        <v>0.56083613388131059</v>
      </c>
    </row>
    <row r="4" spans="1:15" ht="17.25" thickBot="1">
      <c r="A4" s="8" t="s">
        <v>9</v>
      </c>
      <c r="B4" s="9">
        <v>6448</v>
      </c>
      <c r="C4" s="9">
        <v>76671.084165048553</v>
      </c>
      <c r="D4" s="9">
        <v>83119.084165048553</v>
      </c>
      <c r="E4" s="10">
        <v>48376.327834951466</v>
      </c>
      <c r="F4" s="9">
        <v>34742.756330097087</v>
      </c>
      <c r="G4" s="11">
        <v>0.58201228178707043</v>
      </c>
      <c r="H4" s="9">
        <v>11239.951524271846</v>
      </c>
      <c r="I4" s="9">
        <v>40574.291046728154</v>
      </c>
      <c r="J4" s="9">
        <v>10646.929570999999</v>
      </c>
      <c r="K4" s="9">
        <v>41167.313000000002</v>
      </c>
      <c r="L4" s="9">
        <v>11011.818452380954</v>
      </c>
      <c r="M4" s="10">
        <v>42567.031047446617</v>
      </c>
      <c r="N4" s="10">
        <v>9612.1004049343392</v>
      </c>
      <c r="O4" s="7">
        <f t="shared" si="0"/>
        <v>0.84700456707993899</v>
      </c>
    </row>
    <row r="5" spans="1:15" ht="17.25" thickBot="1">
      <c r="A5" s="8" t="s">
        <v>10</v>
      </c>
      <c r="B5" s="9">
        <v>116967</v>
      </c>
      <c r="C5" s="9"/>
      <c r="D5" s="9">
        <v>116967</v>
      </c>
      <c r="E5" s="10">
        <v>50041.120450097078</v>
      </c>
      <c r="F5" s="9">
        <v>68394.458951456312</v>
      </c>
      <c r="G5" s="11">
        <v>0.42782255208817083</v>
      </c>
      <c r="H5" s="9">
        <v>71639.524572815542</v>
      </c>
      <c r="I5" s="9"/>
      <c r="J5" s="9">
        <v>15830.044922999999</v>
      </c>
      <c r="K5" s="9">
        <v>56306.213999999993</v>
      </c>
      <c r="L5" s="9"/>
      <c r="M5" s="10">
        <v>39311.959247120481</v>
      </c>
      <c r="N5" s="10">
        <v>16994.254752879511</v>
      </c>
      <c r="O5" s="7">
        <f t="shared" si="0"/>
        <v>0.7697148257045352</v>
      </c>
    </row>
    <row r="6" spans="1:15" ht="17.25" thickBot="1">
      <c r="A6" s="8" t="s">
        <v>11</v>
      </c>
      <c r="B6" s="9">
        <v>72725</v>
      </c>
      <c r="C6" s="9"/>
      <c r="D6" s="9">
        <v>72725</v>
      </c>
      <c r="E6" s="10">
        <v>25635.297582524272</v>
      </c>
      <c r="F6" s="9">
        <v>47535.347970873787</v>
      </c>
      <c r="G6" s="11">
        <v>0.35249635727087347</v>
      </c>
      <c r="H6" s="9">
        <v>68394.458951456312</v>
      </c>
      <c r="I6" s="9"/>
      <c r="J6" s="9">
        <v>7265.8466750000007</v>
      </c>
      <c r="K6" s="9">
        <v>60595.793000000005</v>
      </c>
      <c r="L6" s="9"/>
      <c r="M6" s="10">
        <v>22953.460164388609</v>
      </c>
      <c r="N6" s="10">
        <v>37642.332835611393</v>
      </c>
      <c r="O6" s="7">
        <f t="shared" si="0"/>
        <v>0.44183852467985868</v>
      </c>
    </row>
    <row r="7" spans="1:15" ht="17.25" thickBot="1">
      <c r="A7" s="8" t="s">
        <v>12</v>
      </c>
      <c r="B7" s="9">
        <v>0</v>
      </c>
      <c r="C7" s="9">
        <v>11713.341563106798</v>
      </c>
      <c r="D7" s="9">
        <v>11713.341563106798</v>
      </c>
      <c r="E7" s="10">
        <v>473.3900388349515</v>
      </c>
      <c r="F7" s="9">
        <v>11239.951524271846</v>
      </c>
      <c r="G7" s="11">
        <v>4.0414602125662891E-2</v>
      </c>
      <c r="H7" s="9">
        <v>0</v>
      </c>
      <c r="I7" s="9"/>
      <c r="J7" s="9"/>
      <c r="K7" s="9">
        <v>0</v>
      </c>
      <c r="L7" s="9">
        <v>11713.341563106798</v>
      </c>
      <c r="M7" s="10">
        <v>619.98599385437376</v>
      </c>
      <c r="N7" s="10">
        <v>11093.355569252424</v>
      </c>
      <c r="O7" s="7">
        <f t="shared" si="0"/>
        <v>5.2929899680132883E-2</v>
      </c>
    </row>
    <row r="8" spans="1:15" ht="17.25" thickBot="1">
      <c r="A8" s="8" t="s">
        <v>13</v>
      </c>
      <c r="B8" s="9">
        <v>21314</v>
      </c>
      <c r="C8" s="9"/>
      <c r="D8" s="9">
        <v>21314</v>
      </c>
      <c r="E8" s="10">
        <v>4593.7763786407768</v>
      </c>
      <c r="F8" s="9">
        <v>15942.970067961163</v>
      </c>
      <c r="G8" s="11">
        <v>0.21552859053395781</v>
      </c>
      <c r="H8" s="9">
        <v>63478.31803883495</v>
      </c>
      <c r="I8" s="9"/>
      <c r="J8" s="9">
        <v>6671.8656450000008</v>
      </c>
      <c r="K8" s="9">
        <v>58445.780999999995</v>
      </c>
      <c r="L8" s="9"/>
      <c r="M8" s="10">
        <v>8923.821286674669</v>
      </c>
      <c r="N8" s="10">
        <v>49521.959713325326</v>
      </c>
      <c r="O8" s="7">
        <f t="shared" si="0"/>
        <v>0.24568525779359018</v>
      </c>
    </row>
    <row r="9" spans="1:15" ht="17.25" thickBot="1">
      <c r="A9" s="4" t="s">
        <v>14</v>
      </c>
      <c r="B9" s="5">
        <v>168561</v>
      </c>
      <c r="C9" s="5">
        <v>131295.24416912621</v>
      </c>
      <c r="D9" s="5">
        <v>299856.24416912621</v>
      </c>
      <c r="E9" s="5">
        <v>151343.85979048547</v>
      </c>
      <c r="F9" s="5">
        <v>148512.38437864077</v>
      </c>
      <c r="G9" s="6" t="s">
        <v>25</v>
      </c>
      <c r="H9" s="5">
        <v>148512.38437864077</v>
      </c>
      <c r="I9" s="5">
        <v>28577.56136835922</v>
      </c>
      <c r="J9" s="5">
        <v>40651.549746999997</v>
      </c>
      <c r="K9" s="5">
        <v>136438.39599999998</v>
      </c>
      <c r="L9" s="5">
        <v>168731.57696526911</v>
      </c>
      <c r="M9" s="5">
        <v>158013.12570997101</v>
      </c>
      <c r="N9" s="5">
        <v>147156.84725529805</v>
      </c>
      <c r="O9" s="12" t="s">
        <v>23</v>
      </c>
    </row>
    <row r="10" spans="1:15" ht="17.25" thickBot="1">
      <c r="A10" s="8" t="s">
        <v>15</v>
      </c>
      <c r="B10" s="9">
        <v>68304</v>
      </c>
      <c r="C10" s="9">
        <v>61029.624637961228</v>
      </c>
      <c r="D10" s="13">
        <v>129333.62463796123</v>
      </c>
      <c r="E10" s="14">
        <v>68524.55213310683</v>
      </c>
      <c r="F10" s="9">
        <v>60809.072504854397</v>
      </c>
      <c r="G10" s="5">
        <v>46.145092113994437</v>
      </c>
      <c r="H10" s="9">
        <v>60809.072504854397</v>
      </c>
      <c r="I10" s="9">
        <v>13452.520476145597</v>
      </c>
      <c r="J10" s="9">
        <v>18068.851981</v>
      </c>
      <c r="K10" s="9">
        <v>56192.741000000002</v>
      </c>
      <c r="L10" s="9">
        <v>74197.777279589573</v>
      </c>
      <c r="M10" s="10">
        <v>68666.636385592792</v>
      </c>
      <c r="N10" s="10">
        <v>61723.881893996775</v>
      </c>
      <c r="O10" s="12">
        <f>+N10/(M10+J10)*52</f>
        <v>37.004943638780091</v>
      </c>
    </row>
    <row r="11" spans="1:15" ht="17.25" thickBot="1">
      <c r="A11" s="8" t="s">
        <v>16</v>
      </c>
      <c r="B11" s="9">
        <v>66873</v>
      </c>
      <c r="C11" s="9">
        <v>55921.364929223259</v>
      </c>
      <c r="D11" s="9">
        <v>122794.36492922326</v>
      </c>
      <c r="E11" s="10">
        <v>59203.857977766973</v>
      </c>
      <c r="F11" s="9">
        <v>63590.506951456278</v>
      </c>
      <c r="G11" s="5">
        <v>55.852886525021823</v>
      </c>
      <c r="H11" s="9">
        <v>63590.506951456278</v>
      </c>
      <c r="I11" s="9">
        <v>10431.251600543721</v>
      </c>
      <c r="J11" s="9">
        <v>15779.954551999999</v>
      </c>
      <c r="K11" s="9">
        <v>58241.803999999996</v>
      </c>
      <c r="L11" s="9">
        <v>74413.471821727158</v>
      </c>
      <c r="M11" s="10">
        <v>72157.792212302724</v>
      </c>
      <c r="N11" s="10">
        <v>60497.483609424424</v>
      </c>
      <c r="O11" s="12">
        <f>+N11/(M11+J11)*52</f>
        <v>35.773820269944629</v>
      </c>
    </row>
    <row r="12" spans="1:15" ht="17.25" thickBot="1">
      <c r="A12" s="8" t="s">
        <v>17</v>
      </c>
      <c r="B12" s="9">
        <v>25865</v>
      </c>
      <c r="C12" s="9">
        <v>13890.26142718445</v>
      </c>
      <c r="D12" s="9">
        <v>39755.26142718445</v>
      </c>
      <c r="E12" s="10">
        <v>19783.113805825225</v>
      </c>
      <c r="F12" s="9">
        <v>19972.147621359225</v>
      </c>
      <c r="G12" s="5">
        <v>52.496876199785774</v>
      </c>
      <c r="H12" s="9">
        <v>19972.147621359225</v>
      </c>
      <c r="I12" s="9">
        <v>2534.0875486407749</v>
      </c>
      <c r="J12" s="9">
        <v>3862.47417</v>
      </c>
      <c r="K12" s="9">
        <v>18643.760999999999</v>
      </c>
      <c r="L12" s="9">
        <v>17557.526911571415</v>
      </c>
      <c r="M12" s="10">
        <v>15178.157019052589</v>
      </c>
      <c r="N12" s="10">
        <v>21023.130892518828</v>
      </c>
      <c r="O12" s="12">
        <f>+N12/(M12+J12)*52</f>
        <v>57.414210461652971</v>
      </c>
    </row>
    <row r="13" spans="1:15" ht="17.25" thickBot="1">
      <c r="A13" s="8" t="s">
        <v>18</v>
      </c>
      <c r="B13" s="9">
        <v>7519</v>
      </c>
      <c r="C13" s="9">
        <v>453.99317475728094</v>
      </c>
      <c r="D13" s="9">
        <v>7972.9931747572809</v>
      </c>
      <c r="E13" s="10">
        <v>3832.3358737864078</v>
      </c>
      <c r="F13" s="9">
        <v>4140.6573009708736</v>
      </c>
      <c r="G13" s="5">
        <v>56.18353577077044</v>
      </c>
      <c r="H13" s="9">
        <v>4140.6573009708736</v>
      </c>
      <c r="I13" s="9">
        <v>2159.7017430291271</v>
      </c>
      <c r="J13" s="9">
        <v>2940.2690440000001</v>
      </c>
      <c r="K13" s="9">
        <v>3360.09</v>
      </c>
      <c r="L13" s="9">
        <v>2562.8009523809528</v>
      </c>
      <c r="M13" s="10">
        <v>2010.5400930229075</v>
      </c>
      <c r="N13" s="10">
        <v>3912.350859358045</v>
      </c>
      <c r="O13" s="12">
        <f>+N13/(M13+J13)*52</f>
        <v>41.092726270792006</v>
      </c>
    </row>
    <row r="14" spans="1:15" ht="17.25" thickBot="1">
      <c r="A14" s="4" t="s">
        <v>19</v>
      </c>
      <c r="B14" s="5">
        <v>386015</v>
      </c>
      <c r="C14" s="5">
        <v>292722.98791669903</v>
      </c>
      <c r="D14" s="5">
        <v>678737.98791669903</v>
      </c>
      <c r="E14" s="5">
        <v>316610.32185223303</v>
      </c>
      <c r="F14" s="5">
        <v>363264.63746601943</v>
      </c>
      <c r="G14" s="5"/>
      <c r="H14" s="5">
        <v>363264.63746601943</v>
      </c>
      <c r="I14" s="5">
        <v>69151.852415087371</v>
      </c>
      <c r="J14" s="5">
        <v>81066.236560999998</v>
      </c>
      <c r="K14" s="5">
        <v>352953.49699999997</v>
      </c>
      <c r="L14" s="5">
        <v>264742.42329028068</v>
      </c>
      <c r="M14" s="5">
        <v>313490.64442812756</v>
      </c>
      <c r="N14" s="5">
        <v>304205.27586215304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Bryan_An(안병우) F/KR/MGT/FPA</dc:creator>
  <cp:lastModifiedBy>Bryan_An(안병우) F/KR/MGT/FPA</cp:lastModifiedBy>
  <dcterms:created xsi:type="dcterms:W3CDTF">2026-03-24T07:01:08Z</dcterms:created>
  <dcterms:modified xsi:type="dcterms:W3CDTF">2026-03-25T07:53:59Z</dcterms:modified>
</cp:coreProperties>
</file>